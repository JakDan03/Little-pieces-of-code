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showInkAnnotation="0" codeName="Ten_skoroszyt" defaultThemeVersion="124226"/>
  <bookViews>
    <workbookView xWindow="480" yWindow="60" windowWidth="22995" windowHeight="10560"/>
  </bookViews>
  <sheets>
    <sheet name="Sprawdź się" sheetId="2" r:id="rId1"/>
    <sheet name="Najlepsze wyniki" sheetId="3" r:id="rId2"/>
    <sheet name="Generator tabliczki mnożenia" sheetId="1" r:id="rId3"/>
  </sheets>
  <calcPr calcId="144525"/>
</workbook>
</file>

<file path=xl/calcChain.xml><?xml version="1.0" encoding="utf-8"?>
<calcChain xmlns="http://schemas.openxmlformats.org/spreadsheetml/2006/main">
  <c r="K3" i="2" l="1"/>
  <c r="K4" i="2"/>
  <c r="K5" i="2"/>
  <c r="K6" i="2"/>
  <c r="K7" i="2"/>
  <c r="K8" i="2"/>
  <c r="K9" i="2"/>
  <c r="K10" i="2"/>
  <c r="K11" i="2"/>
  <c r="K2" i="2"/>
  <c r="G1" i="3" l="1"/>
  <c r="H1" i="3"/>
  <c r="I1" i="3"/>
  <c r="J1" i="3"/>
  <c r="G3" i="1" l="1"/>
  <c r="A1" i="2"/>
  <c r="N10" i="2"/>
  <c r="W10" i="2" l="1"/>
  <c r="Y10" i="2"/>
  <c r="Y6" i="2"/>
  <c r="Y8" i="2"/>
  <c r="Y4" i="2"/>
  <c r="Z7" i="2"/>
  <c r="W4" i="2"/>
  <c r="W8" i="2"/>
  <c r="W6" i="2"/>
  <c r="J3" i="2"/>
  <c r="J4" i="2"/>
  <c r="J5" i="2"/>
  <c r="J6" i="2"/>
  <c r="J7" i="2"/>
  <c r="J8" i="2"/>
  <c r="J9" i="2"/>
  <c r="J10" i="2"/>
  <c r="J11" i="2"/>
  <c r="J2" i="2"/>
  <c r="A7" i="2" l="1"/>
  <c r="A9" i="2" s="1"/>
  <c r="A6" i="2"/>
  <c r="A3" i="2"/>
</calcChain>
</file>

<file path=xl/comments1.xml><?xml version="1.0" encoding="utf-8"?>
<comments xmlns="http://schemas.openxmlformats.org/spreadsheetml/2006/main">
  <authors>
    <author>Danelski Jakub</author>
  </authors>
  <commentList>
    <comment ref="A2" authorId="0">
      <text>
        <r>
          <rPr>
            <b/>
            <sz val="9"/>
            <color indexed="81"/>
            <rFont val="Tahoma"/>
            <family val="2"/>
            <charset val="238"/>
          </rPr>
          <t>Danelski Jakub:</t>
        </r>
        <r>
          <rPr>
            <sz val="9"/>
            <color indexed="81"/>
            <rFont val="Tahoma"/>
            <family val="2"/>
            <charset val="238"/>
          </rPr>
          <t xml:space="preserve">
czy rozpoczęta</t>
        </r>
      </text>
    </comment>
    <comment ref="A3" authorId="0">
      <text>
        <r>
          <rPr>
            <b/>
            <sz val="9"/>
            <color indexed="81"/>
            <rFont val="Tahoma"/>
            <family val="2"/>
            <charset val="238"/>
          </rPr>
          <t>Danelski Jakub:</t>
        </r>
        <r>
          <rPr>
            <sz val="9"/>
            <color indexed="81"/>
            <rFont val="Tahoma"/>
            <family val="2"/>
            <charset val="238"/>
          </rPr>
          <t xml:space="preserve">
czas aktualizowany</t>
        </r>
      </text>
    </comment>
  </commentList>
</comments>
</file>

<file path=xl/sharedStrings.xml><?xml version="1.0" encoding="utf-8"?>
<sst xmlns="http://schemas.openxmlformats.org/spreadsheetml/2006/main" count="53" uniqueCount="35">
  <si>
    <t>x</t>
  </si>
  <si>
    <t>=</t>
  </si>
  <si>
    <t>Best score dzisiaj</t>
  </si>
  <si>
    <t>Best score ten tydzień</t>
  </si>
  <si>
    <t>Best score ten miesiąc</t>
  </si>
  <si>
    <t>Best score ten rok</t>
  </si>
  <si>
    <t>Best score ever</t>
  </si>
  <si>
    <t>Wielkość tabliczki mnożenia:</t>
  </si>
  <si>
    <t>Tabliczka mnożenia</t>
  </si>
  <si>
    <t>Tabliczka</t>
  </si>
  <si>
    <t>Dziś</t>
  </si>
  <si>
    <t>Tydzień</t>
  </si>
  <si>
    <t>Miesiąc</t>
  </si>
  <si>
    <t>Rok</t>
  </si>
  <si>
    <t>10 x 10</t>
  </si>
  <si>
    <t>15 x 15</t>
  </si>
  <si>
    <t>20 x 20</t>
  </si>
  <si>
    <t>25 x 25</t>
  </si>
  <si>
    <t>30 x 30</t>
  </si>
  <si>
    <t>35 x 35</t>
  </si>
  <si>
    <t>40 x 40</t>
  </si>
  <si>
    <t>45 x 45</t>
  </si>
  <si>
    <t>50 x 50</t>
  </si>
  <si>
    <t>55 x 55</t>
  </si>
  <si>
    <t>60 x 60</t>
  </si>
  <si>
    <t>65 x 65</t>
  </si>
  <si>
    <t>70 x 70</t>
  </si>
  <si>
    <t>75 x 75</t>
  </si>
  <si>
    <t>80 x 80</t>
  </si>
  <si>
    <t>85 x 85</t>
  </si>
  <si>
    <t>90 x 90</t>
  </si>
  <si>
    <t>95 x 95</t>
  </si>
  <si>
    <t>100 x 100</t>
  </si>
  <si>
    <t>Ogólnie</t>
  </si>
  <si>
    <t>Ogólnie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</si>
</sst>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"/>
    <numFmt numFmtId="165" formatCode="[$-F800]dddd\,\ mmmm\ dd\,\ yyyy"/>
  </numFmts>
  <fonts count="10" x14ac:knownFonts="1">
    <font>
      <sz val="11"/>
      <color theme="1"/>
      <name val="Calibri"/>
      <family val="2"/>
      <charset val="238"/>
      <scheme val="minor"/>
    </font>
    <font>
      <sz val="36"/>
      <color theme="1"/>
      <name val="Calibri"/>
      <family val="2"/>
      <charset val="238"/>
      <scheme val="minor"/>
    </font>
    <font>
      <sz val="9"/>
      <color indexed="81"/>
      <name val="Tahoma"/>
      <family val="2"/>
      <charset val="238"/>
    </font>
    <font>
      <b/>
      <sz val="9"/>
      <color indexed="81"/>
      <name val="Tahoma"/>
      <family val="2"/>
      <charset val="238"/>
    </font>
    <font>
      <sz val="48"/>
      <color rgb="FF000000"/>
      <name val="Calibri"/>
      <family val="2"/>
      <charset val="238"/>
    </font>
    <font>
      <sz val="14"/>
      <color theme="1"/>
      <name val="Calibri"/>
      <family val="2"/>
      <charset val="238"/>
      <scheme val="minor"/>
    </font>
    <font>
      <sz val="18"/>
      <color theme="1"/>
      <name val="Calibri"/>
      <family val="2"/>
      <charset val="238"/>
      <scheme val="minor"/>
    </font>
    <font>
      <sz val="28"/>
      <color theme="1"/>
      <name val="Calibri"/>
      <family val="2"/>
      <charset val="238"/>
      <scheme val="minor"/>
    </font>
    <font>
      <sz val="16"/>
      <color theme="1"/>
      <name val="Calibri"/>
      <family val="2"/>
      <charset val="238"/>
      <scheme val="minor"/>
    </font>
    <font>
      <sz val="11"/>
      <color rgb="FF000000"/>
      <name val="Calibri"/>
      <family val="2"/>
      <charset val="238"/>
    </font>
  </fonts>
  <fills count="4">
    <fill>
      <patternFill patternType="none"/>
    </fill>
    <fill>
      <patternFill patternType="gray125"/>
    </fill>
    <fill>
      <patternFill patternType="solid">
        <fgColor rgb="FFFCD5B4"/>
        <bgColor indexed="64"/>
      </patternFill>
    </fill>
    <fill>
      <patternFill patternType="solid">
        <fgColor rgb="FFFFFFFF"/>
        <bgColor indexed="64"/>
      </patternFill>
    </fill>
  </fills>
  <borders count="16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/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5" fillId="0" borderId="0" xfId="0" applyFont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14" fontId="0" fillId="0" borderId="0" xfId="0" applyNumberFormat="1"/>
    <xf numFmtId="22" fontId="0" fillId="0" borderId="0" xfId="0" applyNumberFormat="1"/>
    <xf numFmtId="0" fontId="0" fillId="0" borderId="10" xfId="0" applyBorder="1"/>
    <xf numFmtId="0" fontId="0" fillId="0" borderId="0" xfId="0" applyBorder="1"/>
    <xf numFmtId="0" fontId="0" fillId="0" borderId="9" xfId="0" applyBorder="1"/>
    <xf numFmtId="0" fontId="0" fillId="0" borderId="0" xfId="0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165" fontId="0" fillId="0" borderId="0" xfId="0" applyNumberFormat="1"/>
    <xf numFmtId="0" fontId="5" fillId="0" borderId="0" xfId="0" applyFont="1" applyAlignment="1">
      <alignment horizontal="center" vertical="center" wrapText="1"/>
    </xf>
    <xf numFmtId="0" fontId="7" fillId="0" borderId="0" xfId="0" applyFont="1" applyAlignment="1">
      <alignment horizontal="center" vertical="top"/>
    </xf>
    <xf numFmtId="0" fontId="8" fillId="0" borderId="12" xfId="0" applyFont="1" applyBorder="1" applyAlignment="1">
      <alignment horizontal="center" vertical="center" wrapText="1"/>
    </xf>
    <xf numFmtId="0" fontId="8" fillId="0" borderId="11" xfId="0" applyFont="1" applyBorder="1" applyAlignment="1">
      <alignment horizontal="center" vertical="center" wrapText="1"/>
    </xf>
    <xf numFmtId="0" fontId="8" fillId="0" borderId="13" xfId="0" applyFont="1" applyBorder="1" applyAlignment="1">
      <alignment horizontal="center" vertical="center" wrapText="1"/>
    </xf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 wrapText="1"/>
    </xf>
    <xf numFmtId="0" fontId="6" fillId="0" borderId="0" xfId="0" applyFont="1" applyBorder="1" applyAlignment="1">
      <alignment horizontal="center" vertical="center" wrapText="1"/>
    </xf>
    <xf numFmtId="0" fontId="1" fillId="0" borderId="10" xfId="0" applyFont="1" applyBorder="1" applyAlignment="1">
      <alignment horizontal="center" vertical="top"/>
    </xf>
    <xf numFmtId="0" fontId="1" fillId="0" borderId="0" xfId="0" applyFont="1" applyBorder="1" applyAlignment="1">
      <alignment horizontal="center" vertical="top"/>
    </xf>
    <xf numFmtId="0" fontId="0" fillId="0" borderId="12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3" borderId="4" xfId="0" applyFont="1" applyFill="1" applyBorder="1" applyAlignment="1">
      <alignment horizontal="center"/>
    </xf>
    <xf numFmtId="0" fontId="1" fillId="3" borderId="6" xfId="0" applyFont="1" applyFill="1" applyBorder="1" applyAlignment="1">
      <alignment horizontal="center"/>
    </xf>
    <xf numFmtId="0" fontId="1" fillId="3" borderId="9" xfId="0" applyFont="1" applyFill="1" applyBorder="1" applyAlignment="1">
      <alignment horizontal="center"/>
    </xf>
    <xf numFmtId="0" fontId="1" fillId="3" borderId="6" xfId="0" applyNumberFormat="1" applyFont="1" applyFill="1" applyBorder="1" applyAlignment="1">
      <alignment horizontal="center"/>
    </xf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Spin" dx="16" fmlaLink="$A$8" inc="5" max="100" min="10" page="10" val="25"/>
</file>

<file path=xl/ctrlProps/ctrlProp4.xml><?xml version="1.0" encoding="utf-8"?>
<formControlPr xmlns="http://schemas.microsoft.com/office/spreadsheetml/2009/9/main" objectType="Spin" dx="16" fmlaLink="$A$1" inc="5" max="100" min="10" page="10" val="15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381000</xdr:colOff>
          <xdr:row>1</xdr:row>
          <xdr:rowOff>371475</xdr:rowOff>
        </xdr:from>
        <xdr:to>
          <xdr:col>18</xdr:col>
          <xdr:colOff>114300</xdr:colOff>
          <xdr:row>3</xdr:row>
          <xdr:rowOff>542925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82296" tIns="86868" rIns="82296" bIns="86868" anchor="ctr" upright="1"/>
            <a:lstStyle/>
            <a:p>
              <a:pPr algn="ctr" rtl="0">
                <a:defRPr sz="1000"/>
              </a:pPr>
              <a:r>
                <a:rPr lang="pl-PL" sz="4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Start/stop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371475</xdr:colOff>
          <xdr:row>4</xdr:row>
          <xdr:rowOff>371475</xdr:rowOff>
        </xdr:from>
        <xdr:to>
          <xdr:col>18</xdr:col>
          <xdr:colOff>142875</xdr:colOff>
          <xdr:row>6</xdr:row>
          <xdr:rowOff>533400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82296" tIns="86868" rIns="82296" bIns="86868" anchor="ctr" upright="1"/>
            <a:lstStyle/>
            <a:p>
              <a:pPr algn="ctr" rtl="0">
                <a:defRPr sz="1000"/>
              </a:pPr>
              <a:r>
                <a:rPr lang="pl-PL" sz="4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466725</xdr:colOff>
          <xdr:row>8</xdr:row>
          <xdr:rowOff>342900</xdr:rowOff>
        </xdr:from>
        <xdr:to>
          <xdr:col>17</xdr:col>
          <xdr:colOff>419100</xdr:colOff>
          <xdr:row>9</xdr:row>
          <xdr:rowOff>285750</xdr:rowOff>
        </xdr:to>
        <xdr:sp macro="" textlink="">
          <xdr:nvSpPr>
            <xdr:cNvPr id="2054" name="Spinner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247650</xdr:colOff>
          <xdr:row>1</xdr:row>
          <xdr:rowOff>57150</xdr:rowOff>
        </xdr:from>
        <xdr:to>
          <xdr:col>11</xdr:col>
          <xdr:colOff>247650</xdr:colOff>
          <xdr:row>2</xdr:row>
          <xdr:rowOff>171450</xdr:rowOff>
        </xdr:to>
        <xdr:sp macro="" textlink="">
          <xdr:nvSpPr>
            <xdr:cNvPr id="3073" name="Spinner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</xdr:row>
          <xdr:rowOff>76200</xdr:rowOff>
        </xdr:from>
        <xdr:to>
          <xdr:col>5</xdr:col>
          <xdr:colOff>57150</xdr:colOff>
          <xdr:row>2</xdr:row>
          <xdr:rowOff>161925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Generuj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usz2"/>
  <dimension ref="A1:AA25"/>
  <sheetViews>
    <sheetView showGridLines="0" tabSelected="1" topLeftCell="B1" workbookViewId="0">
      <selection activeCell="H4" sqref="H4"/>
    </sheetView>
  </sheetViews>
  <sheetFormatPr defaultColWidth="0" defaultRowHeight="15" zeroHeight="1" x14ac:dyDescent="0.25"/>
  <cols>
    <col min="1" max="1" width="12" hidden="1" customWidth="1"/>
    <col min="2" max="2" width="9.140625" customWidth="1"/>
    <col min="3" max="3" width="14.42578125" customWidth="1"/>
    <col min="4" max="4" width="5.85546875" customWidth="1"/>
    <col min="5" max="5" width="13.5703125" customWidth="1"/>
    <col min="6" max="6" width="6.42578125" customWidth="1"/>
    <col min="7" max="7" width="19.5703125" bestFit="1" customWidth="1"/>
    <col min="8" max="8" width="12.42578125" bestFit="1" customWidth="1"/>
    <col min="9" max="9" width="9.140625" customWidth="1"/>
    <col min="10" max="11" width="9.140625" hidden="1" customWidth="1"/>
    <col min="12" max="20" width="9.140625" customWidth="1"/>
    <col min="21" max="21" width="8.42578125" customWidth="1"/>
    <col min="22" max="22" width="1.7109375" customWidth="1"/>
    <col min="23" max="24" width="9.140625" customWidth="1"/>
    <col min="25" max="25" width="19" hidden="1" customWidth="1"/>
    <col min="26" max="26" width="9.140625" customWidth="1"/>
    <col min="27" max="27" width="9.85546875" customWidth="1"/>
    <col min="28" max="16384" width="9.140625" hidden="1"/>
  </cols>
  <sheetData>
    <row r="1" spans="1:27" ht="15.75" thickBot="1" x14ac:dyDescent="0.3">
      <c r="A1" s="1">
        <f ca="1">RANDBETWEEN(2,A8)</f>
        <v>11</v>
      </c>
      <c r="B1" s="1"/>
    </row>
    <row r="2" spans="1:27" ht="46.5" x14ac:dyDescent="0.7">
      <c r="A2">
        <v>1</v>
      </c>
      <c r="B2" s="1"/>
      <c r="C2" s="3">
        <v>18</v>
      </c>
      <c r="D2" s="4" t="s">
        <v>0</v>
      </c>
      <c r="E2" s="4">
        <v>7</v>
      </c>
      <c r="F2" s="4" t="s">
        <v>1</v>
      </c>
      <c r="G2" s="39"/>
      <c r="H2" s="9"/>
      <c r="J2">
        <f>IF(C2-E2=0,INT(SQRT(C2)*1.01^(C2*E2)*SQRT(C2*E2)*SQRT(MIN(C2,E2))*K2),INT(SQRT(ABS(C2-E2))*1.01^(C2*E2)*SQRT(C2*E2)*SQRT(MIN(C2,E2))*K2))</f>
        <v>345</v>
      </c>
      <c r="K2">
        <f>IF(OR(MOD(C2,10)=0,MOD(E2,10)=0),0.2,IF(OR(MOD(C2,5)=0,MOD(E2,5)=0),0.4,1))</f>
        <v>1</v>
      </c>
      <c r="U2" s="11"/>
    </row>
    <row r="3" spans="1:27" ht="46.5" x14ac:dyDescent="0.7">
      <c r="A3" s="2">
        <f ca="1">NOW()</f>
        <v>45335.643577662035</v>
      </c>
      <c r="B3" s="1"/>
      <c r="C3" s="5">
        <v>18</v>
      </c>
      <c r="D3" s="6" t="s">
        <v>0</v>
      </c>
      <c r="E3" s="6">
        <v>13</v>
      </c>
      <c r="F3" s="6" t="s">
        <v>1</v>
      </c>
      <c r="G3" s="40"/>
      <c r="H3" s="10"/>
      <c r="J3">
        <f t="shared" ref="J3:J11" si="0">IF(C3-E3=0,INT(SQRT(C3)*1.01^(C3*E3)*SQRT(C3*E3)*SQRT(MIN(C3,E3))*K3),INT(SQRT(ABS(C3-E3))*1.01^(C3*E3)*SQRT(C3*E3)*SQRT(MIN(C3,E3))*K3))</f>
        <v>1265</v>
      </c>
      <c r="K3">
        <f t="shared" ref="K3:K11" si="1">IF(OR(MOD(C3,10)=0,MOD(E3,10)=0),0.2,IF(OR(MOD(C3,5)=0,MOD(E3,5)=0),0.4,1))</f>
        <v>1</v>
      </c>
      <c r="W3" s="21" t="s">
        <v>2</v>
      </c>
      <c r="X3" s="21"/>
      <c r="Z3" s="13"/>
      <c r="AA3" s="14"/>
    </row>
    <row r="4" spans="1:27" ht="46.5" x14ac:dyDescent="0.7">
      <c r="A4">
        <v>45335.624146643517</v>
      </c>
      <c r="B4" s="1"/>
      <c r="C4" s="5">
        <v>3</v>
      </c>
      <c r="D4" s="6" t="s">
        <v>0</v>
      </c>
      <c r="E4" s="6">
        <v>13</v>
      </c>
      <c r="F4" s="6" t="s">
        <v>1</v>
      </c>
      <c r="G4" s="40"/>
      <c r="H4" s="9"/>
      <c r="J4">
        <f t="shared" si="0"/>
        <v>50</v>
      </c>
      <c r="K4">
        <f t="shared" si="1"/>
        <v>1</v>
      </c>
      <c r="W4" s="22">
        <f>VLOOKUP($N$10,'Najlepsze wyniki'!$A$1:$F$20,2,FALSE)</f>
        <v>0</v>
      </c>
      <c r="X4" s="22"/>
      <c r="Y4" s="11">
        <f>VLOOKUP($N$10,'Najlepsze wyniki'!$A$1:$J$20,7,FALSE)</f>
        <v>0</v>
      </c>
      <c r="Z4" s="13"/>
      <c r="AA4" s="14"/>
    </row>
    <row r="5" spans="1:27" ht="46.5" x14ac:dyDescent="0.7">
      <c r="A5">
        <v>45335.623084259256</v>
      </c>
      <c r="B5" s="1"/>
      <c r="C5" s="5">
        <v>10</v>
      </c>
      <c r="D5" s="6" t="s">
        <v>0</v>
      </c>
      <c r="E5" s="6">
        <v>6</v>
      </c>
      <c r="F5" s="6" t="s">
        <v>1</v>
      </c>
      <c r="G5" s="40"/>
      <c r="H5" s="9"/>
      <c r="J5">
        <f t="shared" si="0"/>
        <v>13</v>
      </c>
      <c r="K5">
        <f t="shared" si="1"/>
        <v>0.2</v>
      </c>
      <c r="W5" s="21" t="s">
        <v>3</v>
      </c>
      <c r="X5" s="21"/>
      <c r="Z5" s="13"/>
      <c r="AA5" s="14"/>
    </row>
    <row r="6" spans="1:27" ht="46.5" x14ac:dyDescent="0.7">
      <c r="A6">
        <f>COUNTA(G2:G11)</f>
        <v>0</v>
      </c>
      <c r="B6" s="1"/>
      <c r="C6" s="5">
        <v>21</v>
      </c>
      <c r="D6" s="6" t="s">
        <v>0</v>
      </c>
      <c r="E6" s="6">
        <v>14</v>
      </c>
      <c r="F6" s="6" t="s">
        <v>1</v>
      </c>
      <c r="G6" s="42"/>
      <c r="H6" s="9"/>
      <c r="J6">
        <f t="shared" si="0"/>
        <v>3164</v>
      </c>
      <c r="K6">
        <f t="shared" si="1"/>
        <v>1</v>
      </c>
      <c r="W6" s="22">
        <f>VLOOKUP($N$10,'Najlepsze wyniki'!$A$1:$F$20,3,FALSE)</f>
        <v>0</v>
      </c>
      <c r="X6" s="22"/>
      <c r="Y6" s="12">
        <f>VLOOKUP($N$10,'Najlepsze wyniki'!$A$1:$J$20,8,FALSE)</f>
        <v>0</v>
      </c>
      <c r="Z6" s="29" t="s">
        <v>6</v>
      </c>
      <c r="AA6" s="30"/>
    </row>
    <row r="7" spans="1:27" ht="46.5" x14ac:dyDescent="0.7">
      <c r="A7">
        <f>INT((A5-A4)*86400)</f>
        <v>-92</v>
      </c>
      <c r="B7" s="1"/>
      <c r="C7" s="5">
        <v>6</v>
      </c>
      <c r="D7" s="6" t="s">
        <v>0</v>
      </c>
      <c r="E7" s="6">
        <v>14</v>
      </c>
      <c r="F7" s="6" t="s">
        <v>1</v>
      </c>
      <c r="G7" s="40"/>
      <c r="H7" s="9"/>
      <c r="J7">
        <f t="shared" si="0"/>
        <v>146</v>
      </c>
      <c r="K7">
        <f t="shared" si="1"/>
        <v>1</v>
      </c>
      <c r="W7" s="21" t="s">
        <v>4</v>
      </c>
      <c r="X7" s="21"/>
      <c r="Z7" s="31">
        <f>VLOOKUP($N$10,'Najlepsze wyniki'!$A$1:$F$20,6,FALSE)</f>
        <v>0</v>
      </c>
      <c r="AA7" s="32"/>
    </row>
    <row r="8" spans="1:27" ht="46.5" x14ac:dyDescent="0.7">
      <c r="A8">
        <v>25</v>
      </c>
      <c r="B8" s="1"/>
      <c r="C8" s="5">
        <v>24</v>
      </c>
      <c r="D8" s="6" t="s">
        <v>0</v>
      </c>
      <c r="E8" s="6">
        <v>3</v>
      </c>
      <c r="F8" s="6" t="s">
        <v>1</v>
      </c>
      <c r="G8" s="40"/>
      <c r="H8" s="9"/>
      <c r="J8">
        <f t="shared" si="0"/>
        <v>137</v>
      </c>
      <c r="K8">
        <f t="shared" si="1"/>
        <v>1</v>
      </c>
      <c r="W8" s="22">
        <f>VLOOKUP($N$10,'Najlepsze wyniki'!$A$1:$F$20,4,FALSE)</f>
        <v>0</v>
      </c>
      <c r="X8" s="22"/>
      <c r="Y8" s="12">
        <f>VLOOKUP($N$10,'Najlepsze wyniki'!$A$1:$J$20,9,FALSE)</f>
        <v>0</v>
      </c>
      <c r="Z8" s="13"/>
      <c r="AA8" s="14"/>
    </row>
    <row r="9" spans="1:27" ht="46.5" x14ac:dyDescent="0.7">
      <c r="A9" t="e">
        <f>LN(A7)</f>
        <v>#NUM!</v>
      </c>
      <c r="B9" s="1"/>
      <c r="C9" s="5">
        <v>3</v>
      </c>
      <c r="D9" s="6" t="s">
        <v>0</v>
      </c>
      <c r="E9" s="6">
        <v>4</v>
      </c>
      <c r="F9" s="6" t="s">
        <v>1</v>
      </c>
      <c r="G9" s="40"/>
      <c r="H9" s="9"/>
      <c r="J9">
        <f t="shared" si="0"/>
        <v>6</v>
      </c>
      <c r="K9">
        <f t="shared" si="1"/>
        <v>1</v>
      </c>
      <c r="N9" s="23" t="s">
        <v>7</v>
      </c>
      <c r="O9" s="24"/>
      <c r="P9" s="25"/>
      <c r="W9" s="21" t="s">
        <v>5</v>
      </c>
      <c r="X9" s="21"/>
      <c r="Z9" s="13"/>
      <c r="AA9" s="14"/>
    </row>
    <row r="10" spans="1:27" ht="46.5" x14ac:dyDescent="0.7">
      <c r="B10" s="1"/>
      <c r="C10" s="5">
        <v>14</v>
      </c>
      <c r="D10" s="6" t="s">
        <v>0</v>
      </c>
      <c r="E10" s="6">
        <v>20</v>
      </c>
      <c r="F10" s="6" t="s">
        <v>1</v>
      </c>
      <c r="G10" s="40"/>
      <c r="H10" s="10"/>
      <c r="J10">
        <f t="shared" si="0"/>
        <v>497</v>
      </c>
      <c r="K10">
        <f t="shared" si="1"/>
        <v>0.2</v>
      </c>
      <c r="N10" s="26" t="str">
        <f>A8&amp;" x "&amp;A8</f>
        <v>25 x 25</v>
      </c>
      <c r="O10" s="27"/>
      <c r="P10" s="28"/>
      <c r="W10" s="22">
        <f>VLOOKUP($N$10,'Najlepsze wyniki'!$A$1:$F$20,5,FALSE)</f>
        <v>0</v>
      </c>
      <c r="X10" s="22"/>
      <c r="Y10" s="12">
        <f>VLOOKUP($N$10,'Najlepsze wyniki'!$A$1:$J$20,10,FALSE)</f>
        <v>0</v>
      </c>
      <c r="Z10" s="13"/>
      <c r="AA10" s="14"/>
    </row>
    <row r="11" spans="1:27" ht="47.25" thickBot="1" x14ac:dyDescent="0.75">
      <c r="B11" s="1"/>
      <c r="C11" s="7">
        <v>24</v>
      </c>
      <c r="D11" s="8" t="s">
        <v>0</v>
      </c>
      <c r="E11" s="8">
        <v>7</v>
      </c>
      <c r="F11" s="8" t="s">
        <v>1</v>
      </c>
      <c r="G11" s="41"/>
      <c r="H11" s="9"/>
      <c r="J11">
        <f t="shared" si="0"/>
        <v>752</v>
      </c>
      <c r="K11">
        <f t="shared" si="1"/>
        <v>1</v>
      </c>
    </row>
    <row r="12" spans="1:27" ht="8.25" customHeight="1" x14ac:dyDescent="0.25"/>
    <row r="13" spans="1:27" hidden="1" x14ac:dyDescent="0.25"/>
    <row r="14" spans="1:27" hidden="1" x14ac:dyDescent="0.25"/>
    <row r="15" spans="1:27" hidden="1" x14ac:dyDescent="0.25"/>
    <row r="16" spans="1:27" hidden="1" x14ac:dyDescent="0.25">
      <c r="B16" s="1"/>
      <c r="C16" s="1"/>
      <c r="D16" s="1"/>
      <c r="E16" s="1"/>
      <c r="F16" s="1"/>
      <c r="G16" s="1"/>
    </row>
    <row r="17" spans="2:7" hidden="1" x14ac:dyDescent="0.25">
      <c r="B17" s="1"/>
      <c r="C17" s="1"/>
      <c r="D17" s="1"/>
      <c r="E17" s="1"/>
      <c r="F17" s="1"/>
      <c r="G17" s="1"/>
    </row>
    <row r="18" spans="2:7" hidden="1" x14ac:dyDescent="0.25">
      <c r="B18" s="1"/>
      <c r="C18" s="1"/>
      <c r="D18" s="1"/>
      <c r="E18" s="1"/>
      <c r="F18" s="1"/>
      <c r="G18" s="1"/>
    </row>
    <row r="19" spans="2:7" hidden="1" x14ac:dyDescent="0.25">
      <c r="B19" s="1"/>
      <c r="C19" s="1"/>
      <c r="D19" s="1"/>
      <c r="E19" s="1"/>
      <c r="F19" s="1"/>
      <c r="G19" s="1"/>
    </row>
    <row r="20" spans="2:7" hidden="1" x14ac:dyDescent="0.25">
      <c r="B20" s="1"/>
      <c r="C20" s="1"/>
      <c r="D20" s="1"/>
      <c r="E20" s="1"/>
      <c r="F20" s="1"/>
      <c r="G20" s="1"/>
    </row>
    <row r="21" spans="2:7" hidden="1" x14ac:dyDescent="0.25">
      <c r="B21" s="1"/>
      <c r="C21" s="1"/>
      <c r="D21" s="1"/>
      <c r="E21" s="1"/>
      <c r="F21" s="1"/>
      <c r="G21" s="1"/>
    </row>
    <row r="22" spans="2:7" hidden="1" x14ac:dyDescent="0.25">
      <c r="B22" s="1"/>
      <c r="C22" s="1"/>
      <c r="D22" s="1"/>
      <c r="E22" s="1"/>
      <c r="F22" s="1"/>
      <c r="G22" s="1"/>
    </row>
    <row r="23" spans="2:7" hidden="1" x14ac:dyDescent="0.25">
      <c r="B23" s="1"/>
      <c r="C23" s="1"/>
      <c r="D23" s="1"/>
      <c r="E23" s="1"/>
      <c r="F23" s="1"/>
      <c r="G23" s="1"/>
    </row>
    <row r="24" spans="2:7" hidden="1" x14ac:dyDescent="0.25">
      <c r="B24" s="1"/>
      <c r="C24" s="1"/>
      <c r="D24" s="1"/>
      <c r="E24" s="1"/>
      <c r="F24" s="1"/>
      <c r="G24" s="1"/>
    </row>
    <row r="25" spans="2:7" hidden="1" x14ac:dyDescent="0.25">
      <c r="B25" s="1"/>
      <c r="C25" s="1"/>
      <c r="D25" s="1"/>
      <c r="E25" s="1"/>
      <c r="F25" s="1"/>
      <c r="G25" s="1"/>
    </row>
  </sheetData>
  <mergeCells count="12">
    <mergeCell ref="N9:P9"/>
    <mergeCell ref="N10:P10"/>
    <mergeCell ref="W9:X9"/>
    <mergeCell ref="W10:X10"/>
    <mergeCell ref="Z6:AA6"/>
    <mergeCell ref="Z7:AA7"/>
    <mergeCell ref="W8:X8"/>
    <mergeCell ref="W3:X3"/>
    <mergeCell ref="W4:X4"/>
    <mergeCell ref="W5:X5"/>
    <mergeCell ref="W6:X6"/>
    <mergeCell ref="W7:X7"/>
  </mergeCell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tartstop">
                <anchor moveWithCells="1" sizeWithCells="1">
                  <from>
                    <xdr:col>12</xdr:col>
                    <xdr:colOff>381000</xdr:colOff>
                    <xdr:row>1</xdr:row>
                    <xdr:rowOff>371475</xdr:rowOff>
                  </from>
                  <to>
                    <xdr:col>18</xdr:col>
                    <xdr:colOff>114300</xdr:colOff>
                    <xdr:row>3</xdr:row>
                    <xdr:rowOff>542925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reset">
                <anchor moveWithCells="1" sizeWithCells="1">
                  <from>
                    <xdr:col>12</xdr:col>
                    <xdr:colOff>371475</xdr:colOff>
                    <xdr:row>4</xdr:row>
                    <xdr:rowOff>371475</xdr:rowOff>
                  </from>
                  <to>
                    <xdr:col>18</xdr:col>
                    <xdr:colOff>142875</xdr:colOff>
                    <xdr:row>6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Spinner 6">
              <controlPr defaultSize="0" autoPict="0">
                <anchor moveWithCells="1" sizeWithCells="1">
                  <from>
                    <xdr:col>16</xdr:col>
                    <xdr:colOff>466725</xdr:colOff>
                    <xdr:row>8</xdr:row>
                    <xdr:rowOff>342900</xdr:rowOff>
                  </from>
                  <to>
                    <xdr:col>17</xdr:col>
                    <xdr:colOff>419100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"/>
  <dimension ref="A1:K21"/>
  <sheetViews>
    <sheetView workbookViewId="0">
      <selection activeCell="L1" sqref="L1:XFD1048576"/>
    </sheetView>
  </sheetViews>
  <sheetFormatPr defaultColWidth="0" defaultRowHeight="15" zeroHeight="1" x14ac:dyDescent="0.25"/>
  <cols>
    <col min="1" max="1" width="9" bestFit="1" customWidth="1"/>
    <col min="2" max="6" width="8.28515625" customWidth="1"/>
    <col min="7" max="10" width="28.7109375" style="20" customWidth="1"/>
    <col min="11" max="11" width="28.7109375" customWidth="1"/>
    <col min="12" max="16384" width="9.140625" hidden="1"/>
  </cols>
  <sheetData>
    <row r="1" spans="1:11" x14ac:dyDescent="0.25">
      <c r="A1" t="s">
        <v>9</v>
      </c>
      <c r="B1" t="s">
        <v>10</v>
      </c>
      <c r="C1" t="s">
        <v>11</v>
      </c>
      <c r="D1" t="s">
        <v>12</v>
      </c>
      <c r="E1" t="s">
        <v>13</v>
      </c>
      <c r="F1" t="s">
        <v>33</v>
      </c>
      <c r="G1" s="20" t="str">
        <f>B1&amp;" data"</f>
        <v>Dziś data</v>
      </c>
      <c r="H1" s="20" t="str">
        <f t="shared" ref="H1:J1" si="0">C1&amp;" data"</f>
        <v>Tydzień data</v>
      </c>
      <c r="I1" s="20" t="str">
        <f t="shared" si="0"/>
        <v>Miesiąc data</v>
      </c>
      <c r="J1" s="20" t="str">
        <f t="shared" si="0"/>
        <v>Rok data</v>
      </c>
      <c r="K1" t="s">
        <v>34</v>
      </c>
    </row>
    <row r="2" spans="1:11" x14ac:dyDescent="0.25">
      <c r="A2" t="s">
        <v>14</v>
      </c>
      <c r="B2">
        <v>0</v>
      </c>
      <c r="C2">
        <v>0</v>
      </c>
      <c r="D2">
        <v>0</v>
      </c>
      <c r="E2">
        <v>0</v>
      </c>
      <c r="F2">
        <v>0</v>
      </c>
      <c r="K2" s="20"/>
    </row>
    <row r="3" spans="1:11" x14ac:dyDescent="0.25">
      <c r="A3" t="s">
        <v>15</v>
      </c>
      <c r="B3">
        <v>0</v>
      </c>
      <c r="C3">
        <v>0</v>
      </c>
      <c r="D3">
        <v>0</v>
      </c>
      <c r="E3">
        <v>0</v>
      </c>
      <c r="F3">
        <v>0</v>
      </c>
      <c r="K3" s="20"/>
    </row>
    <row r="4" spans="1:11" x14ac:dyDescent="0.25">
      <c r="A4" t="s">
        <v>16</v>
      </c>
      <c r="B4">
        <v>0</v>
      </c>
      <c r="C4">
        <v>0</v>
      </c>
      <c r="D4">
        <v>0</v>
      </c>
      <c r="E4">
        <v>0</v>
      </c>
      <c r="F4">
        <v>0</v>
      </c>
      <c r="K4" s="20"/>
    </row>
    <row r="5" spans="1:11" x14ac:dyDescent="0.25">
      <c r="A5" t="s">
        <v>17</v>
      </c>
      <c r="B5">
        <v>0</v>
      </c>
      <c r="C5">
        <v>0</v>
      </c>
      <c r="D5">
        <v>0</v>
      </c>
      <c r="E5">
        <v>0</v>
      </c>
      <c r="F5">
        <v>0</v>
      </c>
      <c r="K5" s="20"/>
    </row>
    <row r="6" spans="1:11" x14ac:dyDescent="0.25">
      <c r="A6" t="s">
        <v>18</v>
      </c>
      <c r="B6">
        <v>0</v>
      </c>
      <c r="C6">
        <v>0</v>
      </c>
      <c r="D6">
        <v>0</v>
      </c>
      <c r="E6">
        <v>0</v>
      </c>
      <c r="F6">
        <v>0</v>
      </c>
      <c r="K6" s="20"/>
    </row>
    <row r="7" spans="1:11" x14ac:dyDescent="0.25">
      <c r="A7" t="s">
        <v>19</v>
      </c>
      <c r="B7">
        <v>0</v>
      </c>
      <c r="C7">
        <v>0</v>
      </c>
      <c r="D7">
        <v>0</v>
      </c>
      <c r="E7">
        <v>0</v>
      </c>
      <c r="F7">
        <v>0</v>
      </c>
      <c r="K7" s="20"/>
    </row>
    <row r="8" spans="1:11" x14ac:dyDescent="0.25">
      <c r="A8" t="s">
        <v>20</v>
      </c>
      <c r="B8">
        <v>0</v>
      </c>
      <c r="C8">
        <v>0</v>
      </c>
      <c r="D8">
        <v>0</v>
      </c>
      <c r="E8">
        <v>0</v>
      </c>
      <c r="F8">
        <v>0</v>
      </c>
      <c r="K8" s="20"/>
    </row>
    <row r="9" spans="1:11" x14ac:dyDescent="0.25">
      <c r="A9" t="s">
        <v>21</v>
      </c>
      <c r="B9">
        <v>0</v>
      </c>
      <c r="C9">
        <v>0</v>
      </c>
      <c r="D9">
        <v>0</v>
      </c>
      <c r="E9">
        <v>0</v>
      </c>
      <c r="F9">
        <v>0</v>
      </c>
      <c r="K9" s="20"/>
    </row>
    <row r="10" spans="1:11" x14ac:dyDescent="0.25">
      <c r="A10" t="s">
        <v>22</v>
      </c>
      <c r="B10">
        <v>0</v>
      </c>
      <c r="C10">
        <v>0</v>
      </c>
      <c r="D10">
        <v>0</v>
      </c>
      <c r="E10">
        <v>0</v>
      </c>
      <c r="F10">
        <v>0</v>
      </c>
      <c r="K10" s="20"/>
    </row>
    <row r="11" spans="1:11" x14ac:dyDescent="0.25">
      <c r="A11" t="s">
        <v>23</v>
      </c>
      <c r="B11">
        <v>0</v>
      </c>
      <c r="C11">
        <v>0</v>
      </c>
      <c r="D11">
        <v>0</v>
      </c>
      <c r="E11">
        <v>0</v>
      </c>
      <c r="F11">
        <v>0</v>
      </c>
      <c r="K11" s="20"/>
    </row>
    <row r="12" spans="1:11" x14ac:dyDescent="0.25">
      <c r="A12" t="s">
        <v>24</v>
      </c>
      <c r="B12">
        <v>0</v>
      </c>
      <c r="C12">
        <v>0</v>
      </c>
      <c r="D12">
        <v>0</v>
      </c>
      <c r="E12">
        <v>0</v>
      </c>
      <c r="F12">
        <v>0</v>
      </c>
      <c r="K12" s="20"/>
    </row>
    <row r="13" spans="1:11" x14ac:dyDescent="0.25">
      <c r="A13" t="s">
        <v>25</v>
      </c>
      <c r="B13">
        <v>0</v>
      </c>
      <c r="C13">
        <v>0</v>
      </c>
      <c r="D13">
        <v>0</v>
      </c>
      <c r="E13">
        <v>0</v>
      </c>
      <c r="F13">
        <v>0</v>
      </c>
      <c r="K13" s="20"/>
    </row>
    <row r="14" spans="1:11" x14ac:dyDescent="0.25">
      <c r="A14" t="s">
        <v>26</v>
      </c>
      <c r="B14">
        <v>0</v>
      </c>
      <c r="C14">
        <v>0</v>
      </c>
      <c r="D14">
        <v>0</v>
      </c>
      <c r="E14">
        <v>0</v>
      </c>
      <c r="F14">
        <v>0</v>
      </c>
      <c r="K14" s="20"/>
    </row>
    <row r="15" spans="1:11" x14ac:dyDescent="0.25">
      <c r="A15" t="s">
        <v>27</v>
      </c>
      <c r="B15">
        <v>0</v>
      </c>
      <c r="C15">
        <v>0</v>
      </c>
      <c r="D15">
        <v>0</v>
      </c>
      <c r="E15">
        <v>0</v>
      </c>
      <c r="F15">
        <v>0</v>
      </c>
      <c r="K15" s="20"/>
    </row>
    <row r="16" spans="1:11" x14ac:dyDescent="0.25">
      <c r="A16" t="s">
        <v>28</v>
      </c>
      <c r="B16">
        <v>0</v>
      </c>
      <c r="C16">
        <v>0</v>
      </c>
      <c r="D16">
        <v>0</v>
      </c>
      <c r="E16">
        <v>0</v>
      </c>
      <c r="F16">
        <v>0</v>
      </c>
      <c r="K16" s="20"/>
    </row>
    <row r="17" spans="1:11" x14ac:dyDescent="0.25">
      <c r="A17" t="s">
        <v>29</v>
      </c>
      <c r="B17">
        <v>0</v>
      </c>
      <c r="C17">
        <v>0</v>
      </c>
      <c r="D17">
        <v>0</v>
      </c>
      <c r="E17">
        <v>0</v>
      </c>
      <c r="F17">
        <v>0</v>
      </c>
      <c r="K17" s="20"/>
    </row>
    <row r="18" spans="1:11" x14ac:dyDescent="0.25">
      <c r="A18" t="s">
        <v>30</v>
      </c>
      <c r="B18">
        <v>0</v>
      </c>
      <c r="C18">
        <v>0</v>
      </c>
      <c r="D18">
        <v>0</v>
      </c>
      <c r="E18">
        <v>0</v>
      </c>
      <c r="F18">
        <v>0</v>
      </c>
      <c r="K18" s="20"/>
    </row>
    <row r="19" spans="1:11" x14ac:dyDescent="0.25">
      <c r="A19" t="s">
        <v>31</v>
      </c>
      <c r="B19">
        <v>0</v>
      </c>
      <c r="C19">
        <v>0</v>
      </c>
      <c r="D19">
        <v>0</v>
      </c>
      <c r="E19">
        <v>0</v>
      </c>
      <c r="F19">
        <v>0</v>
      </c>
      <c r="K19" s="20"/>
    </row>
    <row r="20" spans="1:11" x14ac:dyDescent="0.25">
      <c r="A20" t="s">
        <v>32</v>
      </c>
      <c r="B20">
        <v>0</v>
      </c>
      <c r="C20">
        <v>0</v>
      </c>
      <c r="D20">
        <v>0</v>
      </c>
      <c r="E20">
        <v>0</v>
      </c>
      <c r="F20">
        <v>0</v>
      </c>
      <c r="K20" s="20"/>
    </row>
    <row r="21" spans="1:11" hidden="1" x14ac:dyDescent="0.25"/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usz1"/>
  <dimension ref="A1:Q20"/>
  <sheetViews>
    <sheetView showGridLines="0" topLeftCell="B1" zoomScaleNormal="100" workbookViewId="0">
      <pane xSplit="1" ySplit="5" topLeftCell="C6" activePane="bottomRight" state="frozen"/>
      <selection activeCell="B1" sqref="B1"/>
      <selection pane="topRight" activeCell="C1" sqref="C1"/>
      <selection pane="bottomLeft" activeCell="B6" sqref="B6"/>
      <selection pane="bottomRight" activeCell="B1" sqref="B1"/>
    </sheetView>
  </sheetViews>
  <sheetFormatPr defaultColWidth="4.7109375" defaultRowHeight="17.100000000000001" customHeight="1" x14ac:dyDescent="0.25"/>
  <cols>
    <col min="1" max="1" width="4.7109375" hidden="1" customWidth="1"/>
    <col min="2" max="27" width="4.7109375" customWidth="1"/>
  </cols>
  <sheetData>
    <row r="1" spans="1:17" ht="17.100000000000001" customHeight="1" x14ac:dyDescent="0.25">
      <c r="A1">
        <v>15</v>
      </c>
    </row>
    <row r="2" spans="1:17" ht="17.100000000000001" customHeight="1" x14ac:dyDescent="0.25">
      <c r="G2" s="33" t="s">
        <v>8</v>
      </c>
      <c r="H2" s="34"/>
      <c r="I2" s="34"/>
      <c r="J2" s="35"/>
    </row>
    <row r="3" spans="1:17" ht="17.100000000000001" customHeight="1" x14ac:dyDescent="0.25">
      <c r="G3" s="36" t="str">
        <f>A1&amp;" x "&amp;A1</f>
        <v>15 x 15</v>
      </c>
      <c r="H3" s="37"/>
      <c r="I3" s="37"/>
      <c r="J3" s="38"/>
    </row>
    <row r="5" spans="1:17" ht="17.100000000000001" customHeight="1" thickBot="1" x14ac:dyDescent="0.3">
      <c r="B5" s="15"/>
      <c r="C5" s="17">
        <v>1</v>
      </c>
      <c r="D5" s="17">
        <v>2</v>
      </c>
      <c r="E5" s="17">
        <v>3</v>
      </c>
      <c r="F5" s="17">
        <v>4</v>
      </c>
      <c r="G5" s="17">
        <v>5</v>
      </c>
      <c r="H5" s="17">
        <v>6</v>
      </c>
      <c r="I5" s="17">
        <v>7</v>
      </c>
      <c r="J5" s="17">
        <v>8</v>
      </c>
      <c r="K5" s="17">
        <v>9</v>
      </c>
      <c r="L5" s="17">
        <v>10</v>
      </c>
      <c r="M5" s="17">
        <v>11</v>
      </c>
      <c r="N5" s="17">
        <v>12</v>
      </c>
      <c r="O5" s="17">
        <v>13</v>
      </c>
      <c r="P5" s="17">
        <v>14</v>
      </c>
      <c r="Q5" s="17">
        <v>15</v>
      </c>
    </row>
    <row r="6" spans="1:17" ht="17.100000000000001" customHeight="1" x14ac:dyDescent="0.25">
      <c r="B6" s="18">
        <v>1</v>
      </c>
      <c r="C6" s="16">
        <v>1</v>
      </c>
      <c r="D6" s="16">
        <v>2</v>
      </c>
      <c r="E6" s="16">
        <v>3</v>
      </c>
      <c r="F6" s="16">
        <v>4</v>
      </c>
      <c r="G6" s="16">
        <v>5</v>
      </c>
      <c r="H6" s="16">
        <v>6</v>
      </c>
      <c r="I6" s="16">
        <v>7</v>
      </c>
      <c r="J6" s="16">
        <v>8</v>
      </c>
      <c r="K6" s="16">
        <v>9</v>
      </c>
      <c r="L6" s="16">
        <v>10</v>
      </c>
      <c r="M6" s="16">
        <v>11</v>
      </c>
      <c r="N6" s="16">
        <v>12</v>
      </c>
      <c r="O6" s="16">
        <v>13</v>
      </c>
      <c r="P6" s="16">
        <v>14</v>
      </c>
      <c r="Q6" s="16">
        <v>15</v>
      </c>
    </row>
    <row r="7" spans="1:17" ht="17.100000000000001" customHeight="1" x14ac:dyDescent="0.25">
      <c r="B7" s="19">
        <v>2</v>
      </c>
      <c r="C7" s="16">
        <v>2</v>
      </c>
      <c r="D7" s="16">
        <v>4</v>
      </c>
      <c r="E7" s="16">
        <v>6</v>
      </c>
      <c r="F7" s="16">
        <v>8</v>
      </c>
      <c r="G7" s="16">
        <v>10</v>
      </c>
      <c r="H7" s="16">
        <v>12</v>
      </c>
      <c r="I7" s="16">
        <v>14</v>
      </c>
      <c r="J7" s="16">
        <v>16</v>
      </c>
      <c r="K7" s="16">
        <v>18</v>
      </c>
      <c r="L7" s="16">
        <v>20</v>
      </c>
      <c r="M7" s="16">
        <v>22</v>
      </c>
      <c r="N7" s="16">
        <v>24</v>
      </c>
      <c r="O7" s="16">
        <v>26</v>
      </c>
      <c r="P7" s="16">
        <v>28</v>
      </c>
      <c r="Q7" s="16">
        <v>30</v>
      </c>
    </row>
    <row r="8" spans="1:17" ht="17.100000000000001" customHeight="1" x14ac:dyDescent="0.25">
      <c r="B8" s="19">
        <v>3</v>
      </c>
      <c r="C8" s="16">
        <v>3</v>
      </c>
      <c r="D8" s="16">
        <v>6</v>
      </c>
      <c r="E8" s="16">
        <v>9</v>
      </c>
      <c r="F8" s="16">
        <v>12</v>
      </c>
      <c r="G8" s="16">
        <v>15</v>
      </c>
      <c r="H8" s="16">
        <v>18</v>
      </c>
      <c r="I8" s="16">
        <v>21</v>
      </c>
      <c r="J8" s="16">
        <v>24</v>
      </c>
      <c r="K8" s="16">
        <v>27</v>
      </c>
      <c r="L8" s="16">
        <v>30</v>
      </c>
      <c r="M8" s="16">
        <v>33</v>
      </c>
      <c r="N8" s="16">
        <v>36</v>
      </c>
      <c r="O8" s="16">
        <v>39</v>
      </c>
      <c r="P8" s="16">
        <v>42</v>
      </c>
      <c r="Q8" s="16">
        <v>45</v>
      </c>
    </row>
    <row r="9" spans="1:17" ht="17.100000000000001" customHeight="1" x14ac:dyDescent="0.25">
      <c r="B9" s="19">
        <v>4</v>
      </c>
      <c r="C9" s="16">
        <v>4</v>
      </c>
      <c r="D9" s="16">
        <v>8</v>
      </c>
      <c r="E9" s="16">
        <v>12</v>
      </c>
      <c r="F9" s="16">
        <v>16</v>
      </c>
      <c r="G9" s="16">
        <v>20</v>
      </c>
      <c r="H9" s="16">
        <v>24</v>
      </c>
      <c r="I9" s="16">
        <v>28</v>
      </c>
      <c r="J9" s="16">
        <v>32</v>
      </c>
      <c r="K9" s="16">
        <v>36</v>
      </c>
      <c r="L9" s="16">
        <v>40</v>
      </c>
      <c r="M9" s="16">
        <v>44</v>
      </c>
      <c r="N9" s="16">
        <v>48</v>
      </c>
      <c r="O9" s="16">
        <v>52</v>
      </c>
      <c r="P9" s="16">
        <v>56</v>
      </c>
      <c r="Q9" s="16">
        <v>60</v>
      </c>
    </row>
    <row r="10" spans="1:17" ht="17.100000000000001" customHeight="1" x14ac:dyDescent="0.25">
      <c r="B10" s="19">
        <v>5</v>
      </c>
      <c r="C10" s="16">
        <v>5</v>
      </c>
      <c r="D10" s="16">
        <v>10</v>
      </c>
      <c r="E10" s="16">
        <v>15</v>
      </c>
      <c r="F10" s="16">
        <v>20</v>
      </c>
      <c r="G10" s="16">
        <v>25</v>
      </c>
      <c r="H10" s="16">
        <v>30</v>
      </c>
      <c r="I10" s="16">
        <v>35</v>
      </c>
      <c r="J10" s="16">
        <v>40</v>
      </c>
      <c r="K10" s="16">
        <v>45</v>
      </c>
      <c r="L10" s="16">
        <v>50</v>
      </c>
      <c r="M10" s="16">
        <v>55</v>
      </c>
      <c r="N10" s="16">
        <v>60</v>
      </c>
      <c r="O10" s="16">
        <v>65</v>
      </c>
      <c r="P10" s="16">
        <v>70</v>
      </c>
      <c r="Q10" s="16">
        <v>75</v>
      </c>
    </row>
    <row r="11" spans="1:17" ht="17.100000000000001" customHeight="1" x14ac:dyDescent="0.25">
      <c r="B11" s="19">
        <v>6</v>
      </c>
      <c r="C11" s="16">
        <v>6</v>
      </c>
      <c r="D11" s="16">
        <v>12</v>
      </c>
      <c r="E11" s="16">
        <v>18</v>
      </c>
      <c r="F11" s="16">
        <v>24</v>
      </c>
      <c r="G11" s="16">
        <v>30</v>
      </c>
      <c r="H11" s="16">
        <v>36</v>
      </c>
      <c r="I11" s="16">
        <v>42</v>
      </c>
      <c r="J11" s="16">
        <v>48</v>
      </c>
      <c r="K11" s="16">
        <v>54</v>
      </c>
      <c r="L11" s="16">
        <v>60</v>
      </c>
      <c r="M11" s="16">
        <v>66</v>
      </c>
      <c r="N11" s="16">
        <v>72</v>
      </c>
      <c r="O11" s="16">
        <v>78</v>
      </c>
      <c r="P11" s="16">
        <v>84</v>
      </c>
      <c r="Q11" s="16">
        <v>90</v>
      </c>
    </row>
    <row r="12" spans="1:17" ht="17.100000000000001" customHeight="1" x14ac:dyDescent="0.25">
      <c r="B12" s="19">
        <v>7</v>
      </c>
      <c r="C12" s="16">
        <v>7</v>
      </c>
      <c r="D12" s="16">
        <v>14</v>
      </c>
      <c r="E12" s="16">
        <v>21</v>
      </c>
      <c r="F12" s="16">
        <v>28</v>
      </c>
      <c r="G12" s="16">
        <v>35</v>
      </c>
      <c r="H12" s="16">
        <v>42</v>
      </c>
      <c r="I12" s="16">
        <v>49</v>
      </c>
      <c r="J12" s="16">
        <v>56</v>
      </c>
      <c r="K12" s="16">
        <v>63</v>
      </c>
      <c r="L12" s="16">
        <v>70</v>
      </c>
      <c r="M12" s="16">
        <v>77</v>
      </c>
      <c r="N12" s="16">
        <v>84</v>
      </c>
      <c r="O12" s="16">
        <v>91</v>
      </c>
      <c r="P12" s="16">
        <v>98</v>
      </c>
      <c r="Q12" s="16">
        <v>105</v>
      </c>
    </row>
    <row r="13" spans="1:17" ht="17.100000000000001" customHeight="1" x14ac:dyDescent="0.25">
      <c r="B13" s="19">
        <v>8</v>
      </c>
      <c r="C13" s="16">
        <v>8</v>
      </c>
      <c r="D13" s="16">
        <v>16</v>
      </c>
      <c r="E13" s="16">
        <v>24</v>
      </c>
      <c r="F13" s="16">
        <v>32</v>
      </c>
      <c r="G13" s="16">
        <v>40</v>
      </c>
      <c r="H13" s="16">
        <v>48</v>
      </c>
      <c r="I13" s="16">
        <v>56</v>
      </c>
      <c r="J13" s="16">
        <v>64</v>
      </c>
      <c r="K13" s="16">
        <v>72</v>
      </c>
      <c r="L13" s="16">
        <v>80</v>
      </c>
      <c r="M13" s="16">
        <v>88</v>
      </c>
      <c r="N13" s="16">
        <v>96</v>
      </c>
      <c r="O13" s="16">
        <v>104</v>
      </c>
      <c r="P13" s="16">
        <v>112</v>
      </c>
      <c r="Q13" s="16">
        <v>120</v>
      </c>
    </row>
    <row r="14" spans="1:17" ht="17.100000000000001" customHeight="1" x14ac:dyDescent="0.25">
      <c r="B14" s="19">
        <v>9</v>
      </c>
      <c r="C14" s="16">
        <v>9</v>
      </c>
      <c r="D14" s="16">
        <v>18</v>
      </c>
      <c r="E14" s="16">
        <v>27</v>
      </c>
      <c r="F14" s="16">
        <v>36</v>
      </c>
      <c r="G14" s="16">
        <v>45</v>
      </c>
      <c r="H14" s="16">
        <v>54</v>
      </c>
      <c r="I14" s="16">
        <v>63</v>
      </c>
      <c r="J14" s="16">
        <v>72</v>
      </c>
      <c r="K14" s="16">
        <v>81</v>
      </c>
      <c r="L14" s="16">
        <v>90</v>
      </c>
      <c r="M14" s="16">
        <v>99</v>
      </c>
      <c r="N14" s="16">
        <v>108</v>
      </c>
      <c r="O14" s="16">
        <v>117</v>
      </c>
      <c r="P14" s="16">
        <v>126</v>
      </c>
      <c r="Q14" s="16">
        <v>135</v>
      </c>
    </row>
    <row r="15" spans="1:17" ht="17.100000000000001" customHeight="1" x14ac:dyDescent="0.25">
      <c r="B15" s="19">
        <v>10</v>
      </c>
      <c r="C15" s="16">
        <v>10</v>
      </c>
      <c r="D15" s="16">
        <v>20</v>
      </c>
      <c r="E15" s="16">
        <v>30</v>
      </c>
      <c r="F15" s="16">
        <v>40</v>
      </c>
      <c r="G15" s="16">
        <v>50</v>
      </c>
      <c r="H15" s="16">
        <v>60</v>
      </c>
      <c r="I15" s="16">
        <v>70</v>
      </c>
      <c r="J15" s="16">
        <v>80</v>
      </c>
      <c r="K15" s="16">
        <v>90</v>
      </c>
      <c r="L15" s="16">
        <v>100</v>
      </c>
      <c r="M15" s="16">
        <v>110</v>
      </c>
      <c r="N15" s="16">
        <v>120</v>
      </c>
      <c r="O15" s="16">
        <v>130</v>
      </c>
      <c r="P15" s="16">
        <v>140</v>
      </c>
      <c r="Q15" s="16">
        <v>150</v>
      </c>
    </row>
    <row r="16" spans="1:17" ht="17.100000000000001" customHeight="1" x14ac:dyDescent="0.25">
      <c r="B16" s="19">
        <v>11</v>
      </c>
      <c r="C16" s="16">
        <v>11</v>
      </c>
      <c r="D16" s="16">
        <v>22</v>
      </c>
      <c r="E16" s="16">
        <v>33</v>
      </c>
      <c r="F16" s="16">
        <v>44</v>
      </c>
      <c r="G16" s="16">
        <v>55</v>
      </c>
      <c r="H16" s="16">
        <v>66</v>
      </c>
      <c r="I16" s="16">
        <v>77</v>
      </c>
      <c r="J16" s="16">
        <v>88</v>
      </c>
      <c r="K16" s="16">
        <v>99</v>
      </c>
      <c r="L16" s="16">
        <v>110</v>
      </c>
      <c r="M16" s="16">
        <v>121</v>
      </c>
      <c r="N16" s="16">
        <v>132</v>
      </c>
      <c r="O16" s="16">
        <v>143</v>
      </c>
      <c r="P16" s="16">
        <v>154</v>
      </c>
      <c r="Q16" s="16">
        <v>165</v>
      </c>
    </row>
    <row r="17" spans="2:17" ht="17.100000000000001" customHeight="1" x14ac:dyDescent="0.25">
      <c r="B17" s="19">
        <v>12</v>
      </c>
      <c r="C17" s="16">
        <v>12</v>
      </c>
      <c r="D17" s="16">
        <v>24</v>
      </c>
      <c r="E17" s="16">
        <v>36</v>
      </c>
      <c r="F17" s="16">
        <v>48</v>
      </c>
      <c r="G17" s="16">
        <v>60</v>
      </c>
      <c r="H17" s="16">
        <v>72</v>
      </c>
      <c r="I17" s="16">
        <v>84</v>
      </c>
      <c r="J17" s="16">
        <v>96</v>
      </c>
      <c r="K17" s="16">
        <v>108</v>
      </c>
      <c r="L17" s="16">
        <v>120</v>
      </c>
      <c r="M17" s="16">
        <v>132</v>
      </c>
      <c r="N17" s="16">
        <v>144</v>
      </c>
      <c r="O17" s="16">
        <v>156</v>
      </c>
      <c r="P17" s="16">
        <v>168</v>
      </c>
      <c r="Q17" s="16">
        <v>180</v>
      </c>
    </row>
    <row r="18" spans="2:17" ht="17.100000000000001" customHeight="1" x14ac:dyDescent="0.25">
      <c r="B18" s="19">
        <v>13</v>
      </c>
      <c r="C18" s="16">
        <v>13</v>
      </c>
      <c r="D18" s="16">
        <v>26</v>
      </c>
      <c r="E18" s="16">
        <v>39</v>
      </c>
      <c r="F18" s="16">
        <v>52</v>
      </c>
      <c r="G18" s="16">
        <v>65</v>
      </c>
      <c r="H18" s="16">
        <v>78</v>
      </c>
      <c r="I18" s="16">
        <v>91</v>
      </c>
      <c r="J18" s="16">
        <v>104</v>
      </c>
      <c r="K18" s="16">
        <v>117</v>
      </c>
      <c r="L18" s="16">
        <v>130</v>
      </c>
      <c r="M18" s="16">
        <v>143</v>
      </c>
      <c r="N18" s="16">
        <v>156</v>
      </c>
      <c r="O18" s="16">
        <v>169</v>
      </c>
      <c r="P18" s="16">
        <v>182</v>
      </c>
      <c r="Q18" s="16">
        <v>195</v>
      </c>
    </row>
    <row r="19" spans="2:17" ht="17.100000000000001" customHeight="1" x14ac:dyDescent="0.25">
      <c r="B19" s="19">
        <v>14</v>
      </c>
      <c r="C19" s="16">
        <v>14</v>
      </c>
      <c r="D19" s="16">
        <v>28</v>
      </c>
      <c r="E19" s="16">
        <v>42</v>
      </c>
      <c r="F19" s="16">
        <v>56</v>
      </c>
      <c r="G19" s="16">
        <v>70</v>
      </c>
      <c r="H19" s="16">
        <v>84</v>
      </c>
      <c r="I19" s="16">
        <v>98</v>
      </c>
      <c r="J19" s="16">
        <v>112</v>
      </c>
      <c r="K19" s="16">
        <v>126</v>
      </c>
      <c r="L19" s="16">
        <v>140</v>
      </c>
      <c r="M19" s="16">
        <v>154</v>
      </c>
      <c r="N19" s="16">
        <v>168</v>
      </c>
      <c r="O19" s="16">
        <v>182</v>
      </c>
      <c r="P19" s="16">
        <v>196</v>
      </c>
      <c r="Q19" s="16">
        <v>210</v>
      </c>
    </row>
    <row r="20" spans="2:17" ht="17.100000000000001" customHeight="1" x14ac:dyDescent="0.25">
      <c r="B20" s="19">
        <v>15</v>
      </c>
      <c r="C20" s="16">
        <v>15</v>
      </c>
      <c r="D20" s="16">
        <v>30</v>
      </c>
      <c r="E20" s="16">
        <v>45</v>
      </c>
      <c r="F20" s="16">
        <v>60</v>
      </c>
      <c r="G20" s="16">
        <v>75</v>
      </c>
      <c r="H20" s="16">
        <v>90</v>
      </c>
      <c r="I20" s="16">
        <v>105</v>
      </c>
      <c r="J20" s="16">
        <v>120</v>
      </c>
      <c r="K20" s="16">
        <v>135</v>
      </c>
      <c r="L20" s="16">
        <v>150</v>
      </c>
      <c r="M20" s="16">
        <v>165</v>
      </c>
      <c r="N20" s="16">
        <v>180</v>
      </c>
      <c r="O20" s="16">
        <v>195</v>
      </c>
      <c r="P20" s="16">
        <v>210</v>
      </c>
      <c r="Q20" s="16">
        <v>225</v>
      </c>
    </row>
  </sheetData>
  <mergeCells count="2">
    <mergeCell ref="G2:J2"/>
    <mergeCell ref="G3:J3"/>
  </mergeCell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Spinner 1">
              <controlPr defaultSize="0" autoPict="0">
                <anchor moveWithCells="1" sizeWithCells="1">
                  <from>
                    <xdr:col>10</xdr:col>
                    <xdr:colOff>247650</xdr:colOff>
                    <xdr:row>1</xdr:row>
                    <xdr:rowOff>57150</xdr:rowOff>
                  </from>
                  <to>
                    <xdr:col>11</xdr:col>
                    <xdr:colOff>247650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generuj">
                <anchor moveWithCells="1" sizeWithCells="1">
                  <from>
                    <xdr:col>2</xdr:col>
                    <xdr:colOff>38100</xdr:colOff>
                    <xdr:row>1</xdr:row>
                    <xdr:rowOff>76200</xdr:rowOff>
                  </from>
                  <to>
                    <xdr:col>5</xdr:col>
                    <xdr:colOff>57150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3</vt:i4>
      </vt:variant>
    </vt:vector>
  </HeadingPairs>
  <TitlesOfParts>
    <vt:vector size="3" baseType="lpstr">
      <vt:lpstr>Sprawdź się</vt:lpstr>
      <vt:lpstr>Najlepsze wyniki</vt:lpstr>
      <vt:lpstr>Generator tabliczki mnożenia</vt:lpstr>
    </vt:vector>
  </TitlesOfParts>
  <Company>Sil-art Rycho444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Danelski Jakub</dc:creator>
  <cp:lastModifiedBy>Danelski Jakub</cp:lastModifiedBy>
  <dcterms:created xsi:type="dcterms:W3CDTF">2022-12-11T08:28:16Z</dcterms:created>
  <dcterms:modified xsi:type="dcterms:W3CDTF">2024-02-13T14:27:39Z</dcterms:modified>
</cp:coreProperties>
</file>